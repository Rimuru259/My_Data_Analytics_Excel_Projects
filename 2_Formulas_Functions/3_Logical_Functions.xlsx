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arun\OneDrive\Documents\data analyst Excel\Excel_Data_Analytics_Course-20250824T063321Z-1-001\Excel_Data_Analytics_Course\2_Formulas_Functions\"/>
    </mc:Choice>
  </mc:AlternateContent>
  <xr:revisionPtr revIDLastSave="0" documentId="13_ncr:1_{9D726AF6-1FFD-4264-9F72-C6B6E3E5F93C}" xr6:coauthVersionLast="47" xr6:coauthVersionMax="47" xr10:uidLastSave="{00000000-0000-0000-0000-000000000000}"/>
  <bookViews>
    <workbookView xWindow="-98" yWindow="-98" windowWidth="21795" windowHeight="11625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/>
  <c r="R5" i="10" a="1"/>
  <c r="R5" i="10"/>
  <c r="R6" i="10" a="1"/>
  <c r="R6" i="10"/>
  <c r="R7" i="10" a="1"/>
  <c r="R7" i="10"/>
  <c r="R8" i="10" a="1"/>
  <c r="R8" i="10"/>
  <c r="R9" i="10" a="1"/>
  <c r="R9" i="10"/>
  <c r="R10" i="10" a="1"/>
  <c r="R10" i="10"/>
  <c r="R11" i="10" a="1"/>
  <c r="R11" i="10"/>
  <c r="R12" i="10" a="1"/>
  <c r="R12" i="10"/>
  <c r="R13" i="10" a="1"/>
  <c r="R13" i="10"/>
  <c r="R14" i="10" a="1"/>
  <c r="R14" i="10"/>
  <c r="R15" i="10" a="1"/>
  <c r="R15" i="10"/>
  <c r="R16" i="10" a="1"/>
  <c r="R16" i="10"/>
  <c r="R17" i="10" a="1"/>
  <c r="R17" i="10"/>
  <c r="R18" i="10" a="1"/>
  <c r="R18" i="10"/>
  <c r="R19" i="10" a="1"/>
  <c r="R19" i="10"/>
  <c r="R20" i="10" a="1"/>
  <c r="R20" i="10"/>
  <c r="R21" i="10" a="1"/>
  <c r="R21" i="10"/>
  <c r="R2" i="10" a="1"/>
  <c r="R2" i="10" s="1"/>
  <c r="R2" i="11" a="1"/>
  <c r="R2" i="1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O2" i="10"/>
  <c r="O4" i="10"/>
  <c r="O3" i="10"/>
  <c r="P2" i="10"/>
  <c r="P2" i="11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3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J11" i="7" l="1"/>
  <c r="J8" i="7"/>
  <c r="J5" i="7"/>
  <c r="F6" i="8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<sst xmlns="http://schemas.openxmlformats.org/spreadsheetml/2006/main" count="395" uniqueCount="144">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</sst>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  <xf numFmtId="0" fontId="0" fillId="0" borderId="18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7" sqref="Q7"/>
    </sheetView>
  </sheetViews>
  <sheetFormatPr defaultColWidth="9.1328125" defaultRowHeight="14.25" x14ac:dyDescent="0.45"/>
  <cols>
    <col min="1" max="1" width="5.1328125" style="1" customWidth="1"/>
    <col min="2" max="2" width="22.6640625" style="1" bestFit="1" customWidth="1"/>
    <col min="3" max="3" width="18.265625" style="1" bestFit="1" customWidth="1"/>
    <col min="4" max="4" width="12.265625" style="1" customWidth="1"/>
    <col min="5" max="5" width="11.59765625" style="1" customWidth="1"/>
    <col min="6" max="6" width="12.265625" style="1" hidden="1" customWidth="1"/>
    <col min="7" max="7" width="12.9296875" style="1" hidden="1" customWidth="1"/>
    <col min="8" max="9" width="11.1328125" style="1" hidden="1" customWidth="1"/>
    <col min="10" max="10" width="17.265625" style="1" hidden="1" customWidth="1"/>
    <col min="11" max="11" width="21.6640625" style="1" hidden="1" customWidth="1"/>
    <col min="12" max="12" width="10.265625" style="1" customWidth="1"/>
    <col min="13" max="13" width="9.1328125" style="1" customWidth="1"/>
    <col min="14" max="14" width="10.3984375" style="1" hidden="1" customWidth="1"/>
    <col min="15" max="15" width="14.1328125" style="1" hidden="1" customWidth="1"/>
    <col min="16" max="16" width="9.6640625" style="1" customWidth="1"/>
    <col min="17" max="17" width="9.1328125" style="1"/>
    <col min="18" max="18" width="14.1328125" style="1" bestFit="1" customWidth="1"/>
    <col min="19" max="16384" width="9.1328125" style="1"/>
  </cols>
  <sheetData>
    <row r="1" spans="2:17" ht="14.65" thickBot="1" x14ac:dyDescent="0.5">
      <c r="G1" s="25"/>
    </row>
    <row r="2" spans="2:17" s="11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4.65" thickBot="1" x14ac:dyDescent="0.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4.65" thickBot="1" x14ac:dyDescent="0.5">
      <c r="B14" s="17" t="s">
        <v>25</v>
      </c>
    </row>
    <row r="15" spans="2:17" x14ac:dyDescent="0.45">
      <c r="B15" s="13" t="s">
        <v>22</v>
      </c>
      <c r="C15" s="14">
        <v>5</v>
      </c>
    </row>
    <row r="16" spans="2:17" ht="14.65" thickBot="1" x14ac:dyDescent="0.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Q4" sqref="Q4"/>
    </sheetView>
  </sheetViews>
  <sheetFormatPr defaultColWidth="9.1328125" defaultRowHeight="14.25" x14ac:dyDescent="0.45"/>
  <cols>
    <col min="1" max="1" width="5.1328125" style="1" customWidth="1"/>
    <col min="2" max="2" width="22.6640625" style="1" bestFit="1" customWidth="1"/>
    <col min="3" max="3" width="10.3984375" style="1" customWidth="1"/>
    <col min="4" max="4" width="12.265625" style="1" customWidth="1"/>
    <col min="5" max="5" width="11.59765625" style="1" customWidth="1"/>
    <col min="6" max="6" width="10.59765625" style="1" hidden="1" customWidth="1"/>
    <col min="7" max="7" width="9.1328125" style="1" hidden="1" customWidth="1"/>
    <col min="8" max="9" width="11.1328125" style="1" hidden="1" customWidth="1"/>
    <col min="10" max="10" width="17.265625" style="1" hidden="1" customWidth="1"/>
    <col min="11" max="11" width="14.265625" style="1" hidden="1" customWidth="1"/>
    <col min="12" max="12" width="10.265625" style="1" hidden="1" customWidth="1"/>
    <col min="13" max="13" width="9.1328125" style="1" hidden="1" customWidth="1"/>
    <col min="14" max="14" width="10.3984375" style="1" hidden="1" customWidth="1"/>
    <col min="15" max="15" width="14.1328125" style="1" hidden="1" customWidth="1"/>
    <col min="16" max="16" width="9.6640625" style="1" hidden="1" customWidth="1"/>
    <col min="17" max="17" width="9.6640625" style="1" customWidth="1"/>
    <col min="18" max="18" width="9.1328125" style="1"/>
    <col min="19" max="19" width="14.1328125" style="1" bestFit="1" customWidth="1"/>
    <col min="20" max="16384" width="9.1328125" style="1"/>
  </cols>
  <sheetData>
    <row r="1" spans="2:17" ht="14.65" thickBot="1" x14ac:dyDescent="0.5">
      <c r="G1" s="25"/>
    </row>
    <row r="2" spans="2:17" s="11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4.65" thickBot="1" x14ac:dyDescent="0.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4.65" thickBot="1" x14ac:dyDescent="0.5">
      <c r="B14" s="17" t="s">
        <v>25</v>
      </c>
    </row>
    <row r="15" spans="2:17" x14ac:dyDescent="0.45">
      <c r="B15" s="13" t="s">
        <v>22</v>
      </c>
      <c r="C15" s="14">
        <v>5</v>
      </c>
    </row>
    <row r="16" spans="2:17" ht="14.65" thickBot="1" x14ac:dyDescent="0.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9" sqref="R9"/>
    </sheetView>
  </sheetViews>
  <sheetFormatPr defaultRowHeight="14.25" x14ac:dyDescent="0.45"/>
  <cols>
    <col min="1" max="1" width="16.86328125" bestFit="1" customWidth="1"/>
    <col min="2" max="2" width="19.1328125" hidden="1" customWidth="1"/>
    <col min="3" max="3" width="21.86328125" hidden="1" customWidth="1"/>
    <col min="4" max="4" width="11.1328125" hidden="1" customWidth="1"/>
    <col min="5" max="5" width="38.1328125" hidden="1" customWidth="1"/>
    <col min="6" max="6" width="14.59765625" hidden="1" customWidth="1"/>
    <col min="7" max="7" width="18.59765625" hidden="1" customWidth="1"/>
    <col min="8" max="8" width="13.86328125" bestFit="1" customWidth="1"/>
    <col min="9" max="9" width="19" hidden="1" customWidth="1"/>
    <col min="10" max="10" width="68.1328125" hidden="1" customWidth="1"/>
    <col min="11" max="11" width="10.9296875" bestFit="1" customWidth="1"/>
    <col min="12" max="12" width="14.265625" bestFit="1" customWidth="1"/>
    <col min="13" max="13" width="13.796875" customWidth="1"/>
    <col min="14" max="14" width="11" customWidth="1"/>
    <col min="15" max="15" width="9.73046875" customWidth="1"/>
    <col min="16" max="16" width="11.265625" customWidth="1"/>
    <col min="17" max="17" width="10.06640625" customWidth="1"/>
    <col min="18" max="18" width="11.796875" customWidth="1"/>
  </cols>
  <sheetData>
    <row r="1" spans="1:18" x14ac:dyDescent="0.4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4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s="48" t="str">
        <f>IF($A2=K$1,"Role Desired","NOT Desired")</f>
        <v>NOT Desired</v>
      </c>
      <c r="L2" s="48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AND($A2=$K$1,$A2=$L$1)</f>
        <v>0</v>
      </c>
      <c r="O2" t="b">
        <f>OR($A3=$K$1,$A3=$L$1)</f>
        <v>1</v>
      </c>
      <c r="P2" t="str">
        <f>IF(OR($A2=$K$1, $A2=$L$1), "Role Desired", "NOT Desired")</f>
        <v>NOT Desired</v>
      </c>
      <c r="Q2" t="str">
        <f>IF($H1&gt;=$Q$1,"Match","Salary low")</f>
        <v>Match</v>
      </c>
      <c r="R2" t="str" cm="1">
        <f t="array" ref="R2">_xlfn.IFS(H2="", "No Data", H2&gt;=$Q$1, "Salary &gt; 85K", TRUE, "Salary Low")</f>
        <v>Salary &gt; 85K</v>
      </c>
    </row>
    <row r="3" spans="1:18" x14ac:dyDescent="0.4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s="48" t="str">
        <f>IF($A3=K$1,"Role Desired","NOT Desired")</f>
        <v>Role Desired</v>
      </c>
      <c r="L3" s="48" t="str">
        <f t="shared" ref="L3:L21" si="0">IF($A3=L$1,"Role Desired","NOT Desired")</f>
        <v>NOT Desired</v>
      </c>
      <c r="M3" t="str">
        <f t="shared" ref="M3:M21" si="1">IF($A3=K$1,"Role Desired",IF($A3=L$1,"Role Desired","NOT Desired"))</f>
        <v>Role Desired</v>
      </c>
      <c r="N3" t="b">
        <f t="shared" ref="N3:N21" si="2">AND($A3=$K$1,$A3=$L$1)</f>
        <v>0</v>
      </c>
      <c r="O3" t="b">
        <f>OR($A3=$K$1,$A3=$L$1)</f>
        <v>1</v>
      </c>
      <c r="P3" t="str">
        <f t="shared" ref="P3:P21" si="3">IF(OR($A3=$K$1, $A3=$L$1), "Role Desired", "NOT Desired")</f>
        <v>Role Desired</v>
      </c>
      <c r="Q3" t="str">
        <f t="shared" ref="Q3:Q21" si="4">IF($H2&gt;=$Q$1,"Match","Salary low")</f>
        <v>Match</v>
      </c>
      <c r="R3" t="str" cm="1">
        <f t="array" ref="R3">_xlfn.IFS(H3="", "No Data", H3&gt;=$Q$1, "Salary &gt; 85K", TRUE, "Salary Low")</f>
        <v>Salary Low</v>
      </c>
    </row>
    <row r="4" spans="1:18" x14ac:dyDescent="0.4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s="48" t="str">
        <f t="shared" ref="K4:K21" si="5">IF($A4=K$1,"Role Desired","NOT Desired")</f>
        <v>Role Desired</v>
      </c>
      <c r="L4" s="48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>OR($A4=$K$1,$A4=$L$1)</f>
        <v>1</v>
      </c>
      <c r="P4" t="str">
        <f t="shared" si="3"/>
        <v>Role Desired</v>
      </c>
      <c r="Q4" t="str">
        <f t="shared" si="4"/>
        <v>Salary low</v>
      </c>
      <c r="R4" t="str" cm="1">
        <f t="array" ref="R4">_xlfn.IFS(H4="", "No Data", H4&gt;=$Q$1, "Salary &gt; 85K", TRUE, "Salary Low")</f>
        <v>No Data</v>
      </c>
    </row>
    <row r="5" spans="1:18" x14ac:dyDescent="0.4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s="48" t="str">
        <f t="shared" si="5"/>
        <v>NOT Desired</v>
      </c>
      <c r="L5" s="48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ref="O5:O21" si="6">OR($A5=$K$1,$A5=$L$1)</f>
        <v>0</v>
      </c>
      <c r="P5" t="str">
        <f t="shared" si="3"/>
        <v>NOT Desired</v>
      </c>
      <c r="Q5" t="str">
        <f t="shared" si="4"/>
        <v>Salary low</v>
      </c>
      <c r="R5" t="str" cm="1">
        <f t="array" ref="R5">_xlfn.IFS(H5="", "No Data", H5&gt;=$Q$1, "Salary &gt; 85K", TRUE, "Salary Low")</f>
        <v>No Data</v>
      </c>
    </row>
    <row r="6" spans="1:18" x14ac:dyDescent="0.4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s="48" t="str">
        <f t="shared" si="5"/>
        <v>NOT Desired</v>
      </c>
      <c r="L6" s="48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6"/>
        <v>0</v>
      </c>
      <c r="P6" t="str">
        <f t="shared" si="3"/>
        <v>NOT Desired</v>
      </c>
      <c r="Q6" t="str">
        <f t="shared" si="4"/>
        <v>Salary low</v>
      </c>
      <c r="R6" t="str" cm="1">
        <f t="array" ref="R6">_xlfn.IFS(H6="", "No Data", H6&gt;=$Q$1, "Salary &gt; 85K", TRUE, "Salary Low")</f>
        <v>No Data</v>
      </c>
    </row>
    <row r="7" spans="1:18" x14ac:dyDescent="0.4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s="48" t="str">
        <f t="shared" si="5"/>
        <v>NOT Desired</v>
      </c>
      <c r="L7" s="48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6"/>
        <v>0</v>
      </c>
      <c r="P7" t="str">
        <f t="shared" si="3"/>
        <v>NOT Desired</v>
      </c>
      <c r="Q7" t="str">
        <f t="shared" si="4"/>
        <v>Salary low</v>
      </c>
      <c r="R7" t="str" cm="1">
        <f t="array" ref="R7">_xlfn.IFS(H7="", "No Data", H7&gt;=$Q$1, "Salary &gt; 85K", TRUE, "Salary Low")</f>
        <v>No Data</v>
      </c>
    </row>
    <row r="8" spans="1:18" x14ac:dyDescent="0.4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s="48" t="str">
        <f t="shared" si="5"/>
        <v>Role Desired</v>
      </c>
      <c r="L8" s="4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6"/>
        <v>1</v>
      </c>
      <c r="P8" t="str">
        <f t="shared" si="3"/>
        <v>Role Desired</v>
      </c>
      <c r="Q8" t="str">
        <f t="shared" si="4"/>
        <v>Salary low</v>
      </c>
      <c r="R8" t="str" cm="1">
        <f t="array" ref="R8">_xlfn.IFS(H8="", "No Data", H8&gt;=$Q$1, "Salary &gt; 85K", TRUE, "Salary Low")</f>
        <v>No Data</v>
      </c>
    </row>
    <row r="9" spans="1:18" x14ac:dyDescent="0.4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s="48" t="str">
        <f t="shared" si="5"/>
        <v>Role Desired</v>
      </c>
      <c r="L9" s="48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6"/>
        <v>1</v>
      </c>
      <c r="P9" t="str">
        <f t="shared" si="3"/>
        <v>Role Desired</v>
      </c>
      <c r="Q9" t="str">
        <f t="shared" si="4"/>
        <v>Salary low</v>
      </c>
      <c r="R9" t="str" cm="1">
        <f t="array" ref="R9">_xlfn.IFS(H9="", "No Data", H9&gt;=$Q$1, "Salary &gt; 85K", TRUE, "Salary Low")</f>
        <v>Salary &gt; 85K</v>
      </c>
    </row>
    <row r="10" spans="1:18" x14ac:dyDescent="0.4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s="48" t="str">
        <f t="shared" si="5"/>
        <v>Role Desired</v>
      </c>
      <c r="L10" s="48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6"/>
        <v>1</v>
      </c>
      <c r="P10" t="str">
        <f t="shared" si="3"/>
        <v>Role Desired</v>
      </c>
      <c r="Q10" t="str">
        <f t="shared" si="4"/>
        <v>Match</v>
      </c>
      <c r="R10" t="str" cm="1">
        <f t="array" ref="R10">_xlfn.IFS(H10="", "No Data", H10&gt;=$Q$1, "Salary &gt; 85K", TRUE, "Salary Low")</f>
        <v>No Data</v>
      </c>
    </row>
    <row r="11" spans="1:18" x14ac:dyDescent="0.4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s="48" t="str">
        <f t="shared" si="5"/>
        <v>Role Desired</v>
      </c>
      <c r="L11" s="48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6"/>
        <v>1</v>
      </c>
      <c r="P11" t="str">
        <f t="shared" si="3"/>
        <v>Role Desired</v>
      </c>
      <c r="Q11" t="str">
        <f t="shared" si="4"/>
        <v>Salary low</v>
      </c>
      <c r="R11" t="str" cm="1">
        <f t="array" ref="R11">_xlfn.IFS(H11="", "No Data", H11&gt;=$Q$1, "Salary &gt; 85K", TRUE, "Salary Low")</f>
        <v>Salary &gt; 85K</v>
      </c>
    </row>
    <row r="12" spans="1:18" x14ac:dyDescent="0.4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s="48" t="str">
        <f t="shared" si="5"/>
        <v>NOT Desired</v>
      </c>
      <c r="L12" s="48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6"/>
        <v>0</v>
      </c>
      <c r="P12" t="str">
        <f t="shared" si="3"/>
        <v>NOT Desired</v>
      </c>
      <c r="Q12" t="str">
        <f t="shared" si="4"/>
        <v>Match</v>
      </c>
      <c r="R12" t="str" cm="1">
        <f t="array" ref="R12">_xlfn.IFS(H12="", "No Data", H12&gt;=$Q$1, "Salary &gt; 85K", TRUE, "Salary Low")</f>
        <v>Salary &gt; 85K</v>
      </c>
    </row>
    <row r="13" spans="1:18" x14ac:dyDescent="0.4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s="48" t="str">
        <f t="shared" si="5"/>
        <v>NOT Desired</v>
      </c>
      <c r="L13" s="48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6"/>
        <v>0</v>
      </c>
      <c r="P13" t="str">
        <f t="shared" si="3"/>
        <v>NOT Desired</v>
      </c>
      <c r="Q13" t="str">
        <f t="shared" si="4"/>
        <v>Match</v>
      </c>
      <c r="R13" t="str" cm="1">
        <f t="array" ref="R13">_xlfn.IFS(H13="", "No Data", H13&gt;=$Q$1, "Salary &gt; 85K", TRUE, "Salary Low")</f>
        <v>Salary &gt; 85K</v>
      </c>
    </row>
    <row r="14" spans="1:18" x14ac:dyDescent="0.4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s="48" t="str">
        <f t="shared" si="5"/>
        <v>NOT Desired</v>
      </c>
      <c r="L14" s="48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6"/>
        <v>0</v>
      </c>
      <c r="P14" t="str">
        <f t="shared" si="3"/>
        <v>NOT Desired</v>
      </c>
      <c r="Q14" t="str">
        <f t="shared" si="4"/>
        <v>Match</v>
      </c>
      <c r="R14" t="str" cm="1">
        <f t="array" ref="R14">_xlfn.IFS(H14="", "No Data", H14&gt;=$Q$1, "Salary &gt; 85K", TRUE, "Salary Low")</f>
        <v>Salary &gt; 85K</v>
      </c>
    </row>
    <row r="15" spans="1:18" x14ac:dyDescent="0.4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s="48" t="str">
        <f t="shared" si="5"/>
        <v>NOT Desired</v>
      </c>
      <c r="L15" s="48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6"/>
        <v>0</v>
      </c>
      <c r="P15" t="str">
        <f t="shared" si="3"/>
        <v>NOT Desired</v>
      </c>
      <c r="Q15" t="str">
        <f t="shared" si="4"/>
        <v>Match</v>
      </c>
      <c r="R15" t="str" cm="1">
        <f t="array" ref="R15">_xlfn.IFS(H15="", "No Data", H15&gt;=$Q$1, "Salary &gt; 85K", TRUE, "Salary Low")</f>
        <v>Salary Low</v>
      </c>
    </row>
    <row r="16" spans="1:18" x14ac:dyDescent="0.4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s="48" t="str">
        <f t="shared" si="5"/>
        <v>NOT Desired</v>
      </c>
      <c r="L16" s="48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6"/>
        <v>0</v>
      </c>
      <c r="P16" t="str">
        <f t="shared" si="3"/>
        <v>NOT Desired</v>
      </c>
      <c r="Q16" t="str">
        <f t="shared" si="4"/>
        <v>Salary low</v>
      </c>
      <c r="R16" t="str" cm="1">
        <f t="array" ref="R16">_xlfn.IFS(H16="", "No Data", H16&gt;=$Q$1, "Salary &gt; 85K", TRUE, "Salary Low")</f>
        <v>Salary &gt; 85K</v>
      </c>
    </row>
    <row r="17" spans="1:18" x14ac:dyDescent="0.4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s="48" t="str">
        <f t="shared" si="5"/>
        <v>NOT Desired</v>
      </c>
      <c r="L17" s="48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6"/>
        <v>0</v>
      </c>
      <c r="P17" t="str">
        <f t="shared" si="3"/>
        <v>NOT Desired</v>
      </c>
      <c r="Q17" t="str">
        <f t="shared" si="4"/>
        <v>Match</v>
      </c>
      <c r="R17" t="str" cm="1">
        <f t="array" ref="R17">_xlfn.IFS(H17="", "No Data", H17&gt;=$Q$1, "Salary &gt; 85K", TRUE, "Salary Low")</f>
        <v>Salary &gt; 85K</v>
      </c>
    </row>
    <row r="18" spans="1:18" x14ac:dyDescent="0.4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s="48" t="str">
        <f t="shared" si="5"/>
        <v>NOT Desired</v>
      </c>
      <c r="L18" s="4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6"/>
        <v>1</v>
      </c>
      <c r="P18" t="str">
        <f t="shared" si="3"/>
        <v>Role Desired</v>
      </c>
      <c r="Q18" t="str">
        <f t="shared" si="4"/>
        <v>Match</v>
      </c>
      <c r="R18" t="str" cm="1">
        <f t="array" ref="R18">_xlfn.IFS(H18="", "No Data", H18&gt;=$Q$1, "Salary &gt; 85K", TRUE, "Salary Low")</f>
        <v>No Data</v>
      </c>
    </row>
    <row r="19" spans="1:18" x14ac:dyDescent="0.4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s="48" t="str">
        <f t="shared" si="5"/>
        <v>NOT Desired</v>
      </c>
      <c r="L19" s="48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6"/>
        <v>0</v>
      </c>
      <c r="P19" t="str">
        <f t="shared" si="3"/>
        <v>NOT Desired</v>
      </c>
      <c r="Q19" t="str">
        <f t="shared" si="4"/>
        <v>Salary low</v>
      </c>
      <c r="R19" t="str" cm="1">
        <f t="array" ref="R19">_xlfn.IFS(H19="", "No Data", H19&gt;=$Q$1, "Salary &gt; 85K", TRUE, "Salary Low")</f>
        <v>Salary &gt; 85K</v>
      </c>
    </row>
    <row r="20" spans="1:18" x14ac:dyDescent="0.4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s="48" t="str">
        <f t="shared" si="5"/>
        <v>NOT Desired</v>
      </c>
      <c r="L20" s="48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6"/>
        <v>0</v>
      </c>
      <c r="P20" t="str">
        <f t="shared" si="3"/>
        <v>NOT Desired</v>
      </c>
      <c r="Q20" t="str">
        <f t="shared" si="4"/>
        <v>Match</v>
      </c>
      <c r="R20" t="str" cm="1">
        <f t="array" ref="R20">_xlfn.IFS(H20="", "No Data", H20&gt;=$Q$1, "Salary &gt; 85K", TRUE, "Salary Low")</f>
        <v>No Data</v>
      </c>
    </row>
    <row r="21" spans="1:18" x14ac:dyDescent="0.4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s="48" t="str">
        <f t="shared" si="5"/>
        <v>NOT Desired</v>
      </c>
      <c r="L21" s="48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6"/>
        <v>1</v>
      </c>
      <c r="P21" t="str">
        <f t="shared" si="3"/>
        <v>Role Desired</v>
      </c>
      <c r="Q21" t="str">
        <f t="shared" si="4"/>
        <v>Salary low</v>
      </c>
      <c r="R21" t="str" cm="1">
        <f t="array" ref="R21">_xlfn.IFS(H21="", "No Data", H21&gt;=$Q$1, "Salary &gt; 85K", TRUE, "Salary Low")</f>
        <v>Salary &gt; 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>
      <selection activeCell="Q3" sqref="Q3"/>
    </sheetView>
  </sheetViews>
  <sheetFormatPr defaultRowHeight="14.25" x14ac:dyDescent="0.45"/>
  <cols>
    <col min="1" max="1" width="16.86328125" bestFit="1" customWidth="1"/>
    <col min="2" max="2" width="17.3984375" hidden="1" customWidth="1"/>
    <col min="3" max="3" width="21.86328125" hidden="1" customWidth="1"/>
    <col min="4" max="4" width="11.1328125" hidden="1" customWidth="1"/>
    <col min="5" max="5" width="38.1328125" hidden="1" customWidth="1"/>
    <col min="6" max="6" width="14.59765625" hidden="1" customWidth="1"/>
    <col min="7" max="7" width="18.59765625" hidden="1" customWidth="1"/>
    <col min="8" max="8" width="13.86328125" bestFit="1" customWidth="1"/>
    <col min="9" max="9" width="19" hidden="1" customWidth="1"/>
    <col min="10" max="10" width="68.1328125" hidden="1" customWidth="1"/>
    <col min="11" max="11" width="15.86328125" bestFit="1" customWidth="1"/>
    <col min="12" max="12" width="19.1328125" bestFit="1" customWidth="1"/>
    <col min="13" max="13" width="14.265625" bestFit="1" customWidth="1"/>
    <col min="14" max="14" width="11.265625" bestFit="1" customWidth="1"/>
    <col min="15" max="15" width="10.1328125" bestFit="1" customWidth="1"/>
    <col min="16" max="16" width="14.265625" bestFit="1" customWidth="1"/>
    <col min="17" max="17" width="10.6640625" bestFit="1" customWidth="1"/>
    <col min="18" max="18" width="12.3984375" bestFit="1" customWidth="1"/>
  </cols>
  <sheetData>
    <row r="1" spans="1:18 16384:16384" x14ac:dyDescent="0.4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4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_xlfn.IFS(H2="","No Data",H2&gt;=$Q$1,"Salary &gt; 85K",TRUE,"Salary Low")</f>
        <v>Salary &gt; 85K</v>
      </c>
    </row>
    <row r="3" spans="1:18 16384:16384" x14ac:dyDescent="0.4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4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4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4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4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4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4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4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4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4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4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4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4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4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4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4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4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4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4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25" x14ac:dyDescent="0.45"/>
  <cols>
    <col min="1" max="1" width="6.59765625" customWidth="1"/>
    <col min="2" max="2" width="13.3984375" customWidth="1"/>
    <col min="3" max="3" width="31.3984375" bestFit="1" customWidth="1"/>
    <col min="4" max="4" width="60.3984375" bestFit="1" customWidth="1"/>
    <col min="5" max="5" width="19.6640625" bestFit="1" customWidth="1"/>
    <col min="6" max="6" width="17.59765625" bestFit="1" customWidth="1"/>
  </cols>
  <sheetData>
    <row r="2" spans="2:6" x14ac:dyDescent="0.4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4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4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4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4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4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4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4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I8" sqref="I8"/>
    </sheetView>
  </sheetViews>
  <sheetFormatPr defaultRowHeight="14.25" x14ac:dyDescent="0.45"/>
  <cols>
    <col min="2" max="2" width="9.86328125" bestFit="1" customWidth="1"/>
    <col min="3" max="3" width="10.59765625" customWidth="1"/>
  </cols>
  <sheetData>
    <row r="1" spans="2:5" ht="14.65" thickBot="1" x14ac:dyDescent="0.5"/>
    <row r="2" spans="2:5" x14ac:dyDescent="0.4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4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4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4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4.65" thickBot="1" x14ac:dyDescent="0.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tarun panigrahi</cp:lastModifiedBy>
  <dcterms:created xsi:type="dcterms:W3CDTF">2024-07-16T20:11:02Z</dcterms:created>
  <dcterms:modified xsi:type="dcterms:W3CDTF">2025-09-09T14:10:16Z</dcterms:modified>
</cp:coreProperties>
</file>