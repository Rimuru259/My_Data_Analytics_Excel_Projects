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arun\OneDrive\Documents\data analyst Excel\Excel_Data_Analytics_Course-20250824T063321Z-1-001\Excel_Data_Analytics_Course\2_Formulas_Functions\"/>
    </mc:Choice>
  </mc:AlternateContent>
  <xr:revisionPtr revIDLastSave="0" documentId="13_ncr:1_{995CF889-49A8-4A8B-989C-AAFBBF164596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" i="8"/>
  <c r="X2" i="8" a="1"/>
  <c r="X2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" i="8"/>
  <c r="P2" i="8"/>
  <c r="R2" i="8" s="1" a="1"/>
  <c r="R2" i="8" s="1"/>
  <c r="V2" i="8" a="1"/>
  <c r="V2" i="8" s="1"/>
  <c r="U2" i="8" a="1"/>
  <c r="U2" i="8" s="1"/>
  <c r="T2" i="8" a="1"/>
  <c r="T2" i="8" s="1"/>
  <c r="L2" i="8" a="1"/>
  <c r="L2" i="8" s="1"/>
  <c r="K2" i="8" a="1"/>
  <c r="K2" i="8" s="1"/>
  <c r="J2" i="8" a="1"/>
  <c r="J2" i="8" s="1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P2" i="14" l="1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<sst xmlns="http://schemas.openxmlformats.org/spreadsheetml/2006/main" count="470" uniqueCount="96">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</sst>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522528433945751E-2"/>
          <c:y val="0.19486111111111112"/>
          <c:w val="0.89655796150481193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Data!$AB$1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Data!$AB$2:$AB$21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C-47D3-83BA-54AC1E738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68144"/>
        <c:axId val="97264304"/>
      </c:barChart>
      <c:catAx>
        <c:axId val="9726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4304"/>
        <c:crosses val="autoZero"/>
        <c:auto val="1"/>
        <c:lblAlgn val="ctr"/>
        <c:lblOffset val="100"/>
        <c:noMultiLvlLbl val="0"/>
      </c:catAx>
      <c:valAx>
        <c:axId val="972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392905</xdr:colOff>
      <xdr:row>5</xdr:row>
      <xdr:rowOff>161924</xdr:rowOff>
    </xdr:from>
    <xdr:to>
      <xdr:col>35</xdr:col>
      <xdr:colOff>431005</xdr:colOff>
      <xdr:row>21</xdr:row>
      <xdr:rowOff>4761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6E140-6638-543C-E08A-E14776C70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385762</xdr:colOff>
      <xdr:row>0</xdr:row>
      <xdr:rowOff>33337</xdr:rowOff>
    </xdr:from>
    <xdr:to>
      <xdr:col>29</xdr:col>
      <xdr:colOff>280987</xdr:colOff>
      <xdr:row>20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D3236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1"/>
  <sheetViews>
    <sheetView tabSelected="1" topLeftCell="R1" workbookViewId="0">
      <selection activeCell="AB25" sqref="AB25"/>
    </sheetView>
  </sheetViews>
  <sheetFormatPr defaultRowHeight="14.25" x14ac:dyDescent="0.45"/>
  <cols>
    <col min="1" max="1" width="17.59765625" customWidth="1"/>
    <col min="2" max="2" width="14.265625" hidden="1" customWidth="1"/>
    <col min="3" max="3" width="27.265625" hidden="1" customWidth="1"/>
    <col min="4" max="4" width="23" style="9" bestFit="1" customWidth="1"/>
    <col min="5" max="5" width="26.265625" hidden="1" customWidth="1"/>
    <col min="6" max="6" width="11" hidden="1" customWidth="1"/>
    <col min="7" max="7" width="22" hidden="1" customWidth="1"/>
    <col min="8" max="8" width="40" hidden="1" customWidth="1"/>
    <col min="10" max="13" width="8.86328125" customWidth="1"/>
    <col min="14" max="14" width="14.19921875" customWidth="1"/>
    <col min="15" max="15" width="8.86328125" customWidth="1"/>
    <col min="16" max="16" width="11.86328125" customWidth="1"/>
    <col min="17" max="17" width="8.86328125" customWidth="1"/>
    <col min="18" max="18" width="15.9296875" customWidth="1"/>
    <col min="19" max="23" width="8.86328125" customWidth="1"/>
    <col min="24" max="25" width="14.33203125" customWidth="1"/>
    <col min="26" max="26" width="8.86328125" customWidth="1"/>
  </cols>
  <sheetData>
    <row r="1" spans="1:28" x14ac:dyDescent="0.4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4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 cm="1">
        <f t="array" ref="J2:J21">MONTH(D2:D21)</f>
        <v>2</v>
      </c>
      <c r="K2" cm="1">
        <f t="array" ref="K2:K21">DAY(D2:D21)</f>
        <v>14</v>
      </c>
      <c r="L2" cm="1">
        <f t="array" ref="L2:L21">YEAR(D2:D21)</f>
        <v>2023</v>
      </c>
      <c r="N2" s="9">
        <f>DATE(L:L,J:J,K:K)</f>
        <v>44971</v>
      </c>
      <c r="P2" s="9">
        <f ca="1">TODAY()</f>
        <v>45917</v>
      </c>
      <c r="R2" cm="1">
        <f t="array" aca="1" ref="R2:R21" ca="1">_xlfn.DAYS($P$2,N2:$N$21)</f>
        <v>946</v>
      </c>
      <c r="T2" cm="1">
        <f t="array" ref="T2:T21">HOUR(D2:D21)</f>
        <v>15</v>
      </c>
      <c r="U2" cm="1">
        <f t="array" ref="U2:U21">MINUTE(D2:D21)</f>
        <v>22</v>
      </c>
      <c r="V2" cm="1">
        <f t="array" ref="V2:V21">SECOND(D2:D21)</f>
        <v>15</v>
      </c>
      <c r="X2" s="13" cm="1">
        <f t="array" ref="X2:X21">TIME(T2:$T$21,U2:$U$21,V2:$V$21)</f>
        <v>0.64045138888888886</v>
      </c>
      <c r="AA2">
        <v>1</v>
      </c>
      <c r="AB2">
        <f>COUNTIF(T2:$T$21,AA2)</f>
        <v>0</v>
      </c>
    </row>
    <row r="3" spans="1:28" x14ac:dyDescent="0.4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v>5</v>
      </c>
      <c r="K3">
        <v>9</v>
      </c>
      <c r="L3">
        <v>2023</v>
      </c>
      <c r="N3" s="9">
        <f t="shared" ref="N3:N21" si="0">DATE(L:L,J:J,K:K)</f>
        <v>45055</v>
      </c>
      <c r="R3">
        <f ca="1"/>
        <v>862</v>
      </c>
      <c r="T3">
        <v>9</v>
      </c>
      <c r="U3">
        <v>45</v>
      </c>
      <c r="V3">
        <v>32</v>
      </c>
      <c r="X3" s="13">
        <v>0.40662037037037035</v>
      </c>
      <c r="AA3">
        <v>2</v>
      </c>
      <c r="AB3">
        <f>COUNTIF(T3:$T$21,AA3)</f>
        <v>0</v>
      </c>
    </row>
    <row r="4" spans="1:28" x14ac:dyDescent="0.4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v>7</v>
      </c>
      <c r="K4">
        <v>21</v>
      </c>
      <c r="L4">
        <v>2023</v>
      </c>
      <c r="N4" s="9">
        <f t="shared" si="0"/>
        <v>45128</v>
      </c>
      <c r="R4">
        <f ca="1"/>
        <v>789</v>
      </c>
      <c r="T4">
        <v>17</v>
      </c>
      <c r="U4">
        <v>30</v>
      </c>
      <c r="V4">
        <v>47</v>
      </c>
      <c r="X4" s="13">
        <v>0.72971064814814812</v>
      </c>
      <c r="AA4">
        <v>3</v>
      </c>
      <c r="AB4">
        <f>COUNTIF(T4:$T$21,AA4)</f>
        <v>0</v>
      </c>
    </row>
    <row r="5" spans="1:28" x14ac:dyDescent="0.4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v>9</v>
      </c>
      <c r="K5">
        <v>4</v>
      </c>
      <c r="L5">
        <v>2023</v>
      </c>
      <c r="N5" s="9">
        <f t="shared" si="0"/>
        <v>45173</v>
      </c>
      <c r="R5">
        <f ca="1"/>
        <v>744</v>
      </c>
      <c r="T5">
        <v>7</v>
      </c>
      <c r="U5">
        <v>15</v>
      </c>
      <c r="V5">
        <v>9</v>
      </c>
      <c r="X5" s="13">
        <v>0.3021875</v>
      </c>
      <c r="AA5">
        <v>4</v>
      </c>
      <c r="AB5">
        <f>COUNTIF(T5:$T$21,AA5)</f>
        <v>0</v>
      </c>
    </row>
    <row r="6" spans="1:28" x14ac:dyDescent="0.4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v>11</v>
      </c>
      <c r="K6">
        <v>18</v>
      </c>
      <c r="L6">
        <v>2023</v>
      </c>
      <c r="N6" s="9">
        <f t="shared" si="0"/>
        <v>45248</v>
      </c>
      <c r="R6">
        <f ca="1"/>
        <v>669</v>
      </c>
      <c r="T6">
        <v>17</v>
      </c>
      <c r="U6">
        <v>0</v>
      </c>
      <c r="V6">
        <v>21</v>
      </c>
      <c r="X6" s="13">
        <v>0.70857638888888885</v>
      </c>
      <c r="AA6">
        <v>5</v>
      </c>
      <c r="AB6">
        <f>COUNTIF(T6:$T$21,AA6)</f>
        <v>0</v>
      </c>
    </row>
    <row r="7" spans="1:28" x14ac:dyDescent="0.4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v>1</v>
      </c>
      <c r="K7">
        <v>11</v>
      </c>
      <c r="L7">
        <v>2024</v>
      </c>
      <c r="N7" s="9">
        <f t="shared" si="0"/>
        <v>45302</v>
      </c>
      <c r="R7">
        <f ca="1"/>
        <v>615</v>
      </c>
      <c r="T7">
        <v>12</v>
      </c>
      <c r="U7">
        <v>45</v>
      </c>
      <c r="V7">
        <v>58</v>
      </c>
      <c r="X7" s="13">
        <v>0.53192129629629625</v>
      </c>
      <c r="AA7">
        <v>6</v>
      </c>
      <c r="AB7">
        <f>COUNTIF(T7:$T$21,AA7)</f>
        <v>1</v>
      </c>
    </row>
    <row r="8" spans="1:28" x14ac:dyDescent="0.4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v>3</v>
      </c>
      <c r="K8">
        <v>3</v>
      </c>
      <c r="L8">
        <v>2024</v>
      </c>
      <c r="N8" s="9">
        <f t="shared" si="0"/>
        <v>45354</v>
      </c>
      <c r="R8">
        <f ca="1"/>
        <v>563</v>
      </c>
      <c r="T8">
        <v>16</v>
      </c>
      <c r="U8">
        <v>30</v>
      </c>
      <c r="V8">
        <v>33</v>
      </c>
      <c r="X8" s="13">
        <v>0.68788194444444439</v>
      </c>
      <c r="AA8">
        <v>7</v>
      </c>
      <c r="AB8">
        <f>COUNTIF(T8:$T$21,AA8)</f>
        <v>2</v>
      </c>
    </row>
    <row r="9" spans="1:28" x14ac:dyDescent="0.4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v>4</v>
      </c>
      <c r="K9">
        <v>26</v>
      </c>
      <c r="L9">
        <v>2024</v>
      </c>
      <c r="N9" s="9">
        <f t="shared" si="0"/>
        <v>45408</v>
      </c>
      <c r="R9">
        <f ca="1"/>
        <v>509</v>
      </c>
      <c r="T9">
        <v>8</v>
      </c>
      <c r="U9">
        <v>10</v>
      </c>
      <c r="V9">
        <v>46</v>
      </c>
      <c r="X9" s="13">
        <v>0.34081018518518519</v>
      </c>
      <c r="AA9">
        <v>8</v>
      </c>
      <c r="AB9">
        <f>COUNTIF(T9:$T$21,AA9)</f>
        <v>1</v>
      </c>
    </row>
    <row r="10" spans="1:28" x14ac:dyDescent="0.4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v>6</v>
      </c>
      <c r="K10">
        <v>15</v>
      </c>
      <c r="L10">
        <v>2024</v>
      </c>
      <c r="N10" s="9">
        <f t="shared" si="0"/>
        <v>45458</v>
      </c>
      <c r="R10">
        <f ca="1"/>
        <v>459</v>
      </c>
      <c r="T10">
        <v>17</v>
      </c>
      <c r="U10">
        <v>50</v>
      </c>
      <c r="V10">
        <v>24</v>
      </c>
      <c r="X10" s="13">
        <v>0.74333333333333329</v>
      </c>
      <c r="AA10">
        <v>9</v>
      </c>
      <c r="AB10">
        <f>COUNTIF(T10:$T$21,AA10)</f>
        <v>0</v>
      </c>
    </row>
    <row r="11" spans="1:28" x14ac:dyDescent="0.4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v>7</v>
      </c>
      <c r="K11">
        <v>7</v>
      </c>
      <c r="L11">
        <v>2024</v>
      </c>
      <c r="N11" s="9">
        <f t="shared" si="0"/>
        <v>45480</v>
      </c>
      <c r="R11">
        <f ca="1"/>
        <v>437</v>
      </c>
      <c r="T11">
        <v>14</v>
      </c>
      <c r="U11">
        <v>35</v>
      </c>
      <c r="V11">
        <v>36</v>
      </c>
      <c r="X11" s="13">
        <v>0.60805555555555557</v>
      </c>
      <c r="AA11">
        <v>10</v>
      </c>
      <c r="AB11">
        <f>COUNTIF(T11:$T$21,AA11)</f>
        <v>1</v>
      </c>
    </row>
    <row r="12" spans="1:28" x14ac:dyDescent="0.4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v>6</v>
      </c>
      <c r="K12">
        <v>12</v>
      </c>
      <c r="L12">
        <v>2024</v>
      </c>
      <c r="N12" s="9">
        <f t="shared" si="0"/>
        <v>45455</v>
      </c>
      <c r="R12">
        <f ca="1"/>
        <v>462</v>
      </c>
      <c r="T12">
        <v>6</v>
      </c>
      <c r="U12">
        <v>50</v>
      </c>
      <c r="V12">
        <v>18</v>
      </c>
      <c r="X12" s="13">
        <v>0.28493055555555558</v>
      </c>
      <c r="AA12">
        <v>11</v>
      </c>
      <c r="AB12">
        <f>COUNTIF(T12:$T$21,AA12)</f>
        <v>1</v>
      </c>
    </row>
    <row r="13" spans="1:28" x14ac:dyDescent="0.4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v>1</v>
      </c>
      <c r="K13">
        <v>25</v>
      </c>
      <c r="L13">
        <v>2023</v>
      </c>
      <c r="N13" s="9">
        <f t="shared" si="0"/>
        <v>44951</v>
      </c>
      <c r="R13">
        <f ca="1"/>
        <v>966</v>
      </c>
      <c r="T13">
        <v>13</v>
      </c>
      <c r="U13">
        <v>15</v>
      </c>
      <c r="V13">
        <v>5</v>
      </c>
      <c r="X13" s="13">
        <v>0.55214120370370368</v>
      </c>
      <c r="AA13">
        <v>12</v>
      </c>
      <c r="AB13">
        <f>COUNTIF(T13:$T$21,AA13)</f>
        <v>0</v>
      </c>
    </row>
    <row r="14" spans="1:28" x14ac:dyDescent="0.4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v>3</v>
      </c>
      <c r="K14">
        <v>17</v>
      </c>
      <c r="L14">
        <v>2023</v>
      </c>
      <c r="N14" s="9">
        <f t="shared" si="0"/>
        <v>45002</v>
      </c>
      <c r="R14">
        <f ca="1"/>
        <v>915</v>
      </c>
      <c r="T14">
        <v>11</v>
      </c>
      <c r="U14">
        <v>45</v>
      </c>
      <c r="V14">
        <v>39</v>
      </c>
      <c r="X14" s="13">
        <v>0.49003472222222222</v>
      </c>
      <c r="AA14">
        <v>13</v>
      </c>
      <c r="AB14">
        <f>COUNTIF(T14:$T$21,AA14)</f>
        <v>0</v>
      </c>
    </row>
    <row r="15" spans="1:28" x14ac:dyDescent="0.4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v>6</v>
      </c>
      <c r="K15">
        <v>1</v>
      </c>
      <c r="L15">
        <v>2023</v>
      </c>
      <c r="N15" s="9">
        <f t="shared" si="0"/>
        <v>45078</v>
      </c>
      <c r="R15">
        <f ca="1"/>
        <v>839</v>
      </c>
      <c r="T15">
        <v>10</v>
      </c>
      <c r="U15">
        <v>0</v>
      </c>
      <c r="V15">
        <v>51</v>
      </c>
      <c r="X15" s="13">
        <v>0.41725694444444444</v>
      </c>
      <c r="AA15">
        <v>14</v>
      </c>
      <c r="AB15">
        <f>COUNTIF(T15:$T$21,AA15)</f>
        <v>0</v>
      </c>
    </row>
    <row r="16" spans="1:28" x14ac:dyDescent="0.4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v>8</v>
      </c>
      <c r="K16">
        <v>30</v>
      </c>
      <c r="L16">
        <v>2023</v>
      </c>
      <c r="N16" s="9">
        <f t="shared" si="0"/>
        <v>45168</v>
      </c>
      <c r="R16">
        <f ca="1"/>
        <v>749</v>
      </c>
      <c r="T16">
        <v>17</v>
      </c>
      <c r="U16">
        <v>30</v>
      </c>
      <c r="V16">
        <v>14</v>
      </c>
      <c r="X16" s="13">
        <v>0.72932870370370373</v>
      </c>
      <c r="AA16">
        <v>15</v>
      </c>
      <c r="AB16">
        <f>COUNTIF(T16:$T$21,AA16)</f>
        <v>0</v>
      </c>
    </row>
    <row r="17" spans="1:28" x14ac:dyDescent="0.4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v>10</v>
      </c>
      <c r="K17">
        <v>19</v>
      </c>
      <c r="L17">
        <v>2023</v>
      </c>
      <c r="N17" s="9">
        <f t="shared" si="0"/>
        <v>45218</v>
      </c>
      <c r="R17">
        <f ca="1"/>
        <v>699</v>
      </c>
      <c r="T17">
        <v>7</v>
      </c>
      <c r="U17">
        <v>40</v>
      </c>
      <c r="V17">
        <v>29</v>
      </c>
      <c r="X17" s="13">
        <v>0.3197800925925926</v>
      </c>
      <c r="AA17">
        <v>16</v>
      </c>
      <c r="AB17">
        <f>COUNTIF(T17:$T$21,AA17)</f>
        <v>0</v>
      </c>
    </row>
    <row r="18" spans="1:28" x14ac:dyDescent="0.4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v>2</v>
      </c>
      <c r="K18">
        <v>28</v>
      </c>
      <c r="L18">
        <v>2024</v>
      </c>
      <c r="N18" s="9">
        <f t="shared" si="0"/>
        <v>45350</v>
      </c>
      <c r="R18">
        <f ca="1"/>
        <v>567</v>
      </c>
      <c r="T18">
        <v>17</v>
      </c>
      <c r="U18">
        <v>15</v>
      </c>
      <c r="V18">
        <v>42</v>
      </c>
      <c r="X18" s="13">
        <v>0.71923611111111108</v>
      </c>
      <c r="AA18">
        <v>17</v>
      </c>
      <c r="AB18">
        <f>COUNTIF(T18:$T$21,AA18)</f>
        <v>3</v>
      </c>
    </row>
    <row r="19" spans="1:28" x14ac:dyDescent="0.4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v>5</v>
      </c>
      <c r="K19">
        <v>6</v>
      </c>
      <c r="L19">
        <v>2024</v>
      </c>
      <c r="N19" s="9">
        <f t="shared" si="0"/>
        <v>45418</v>
      </c>
      <c r="R19">
        <f ca="1"/>
        <v>499</v>
      </c>
      <c r="T19">
        <v>17</v>
      </c>
      <c r="U19">
        <v>25</v>
      </c>
      <c r="V19">
        <v>57</v>
      </c>
      <c r="X19" s="13">
        <v>0.72635416666666663</v>
      </c>
      <c r="AA19">
        <v>18</v>
      </c>
      <c r="AB19">
        <f>COUNTIF(T19:$T$21,AA19)</f>
        <v>0</v>
      </c>
    </row>
    <row r="20" spans="1:28" x14ac:dyDescent="0.4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v>7</v>
      </c>
      <c r="K20">
        <v>23</v>
      </c>
      <c r="L20">
        <v>2024</v>
      </c>
      <c r="N20" s="9">
        <f t="shared" si="0"/>
        <v>45496</v>
      </c>
      <c r="R20">
        <f ca="1"/>
        <v>421</v>
      </c>
      <c r="T20">
        <v>7</v>
      </c>
      <c r="U20">
        <v>0</v>
      </c>
      <c r="V20">
        <v>3</v>
      </c>
      <c r="X20" s="13">
        <v>0.29170138888888891</v>
      </c>
      <c r="AA20">
        <v>19</v>
      </c>
      <c r="AB20">
        <f>COUNTIF(T20:$T$21,AA20)</f>
        <v>0</v>
      </c>
    </row>
    <row r="21" spans="1:28" ht="14.65" thickBot="1" x14ac:dyDescent="0.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v>5</v>
      </c>
      <c r="K21">
        <v>10</v>
      </c>
      <c r="L21">
        <v>2024</v>
      </c>
      <c r="N21" s="9">
        <f t="shared" si="0"/>
        <v>45422</v>
      </c>
      <c r="R21">
        <f ca="1"/>
        <v>495</v>
      </c>
      <c r="T21">
        <v>17</v>
      </c>
      <c r="U21">
        <v>45</v>
      </c>
      <c r="V21">
        <v>26</v>
      </c>
      <c r="X21" s="13">
        <v>0.73988425925925927</v>
      </c>
      <c r="AA21">
        <v>20</v>
      </c>
      <c r="AB21">
        <f>COUNTIF(T21:$T$21,AA21)</f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P2" sqref="P2"/>
    </sheetView>
  </sheetViews>
  <sheetFormatPr defaultRowHeight="14.25" x14ac:dyDescent="0.45"/>
  <cols>
    <col min="1" max="1" width="11.6640625" bestFit="1" customWidth="1"/>
    <col min="2" max="2" width="16.1328125" bestFit="1" customWidth="1"/>
    <col min="3" max="3" width="27.265625" bestFit="1" customWidth="1"/>
    <col min="4" max="4" width="23" customWidth="1"/>
    <col min="5" max="5" width="29.86328125" hidden="1" customWidth="1"/>
    <col min="6" max="6" width="11" hidden="1" customWidth="1"/>
    <col min="7" max="7" width="22" hidden="1" customWidth="1"/>
    <col min="8" max="8" width="40" hidden="1" customWidth="1"/>
    <col min="13" max="13" width="1.86328125" customWidth="1"/>
    <col min="14" max="14" width="15.86328125" bestFit="1" customWidth="1"/>
    <col min="16" max="16" width="9.9296875" bestFit="1" customWidth="1"/>
    <col min="18" max="18" width="18" bestFit="1" customWidth="1"/>
  </cols>
  <sheetData>
    <row r="1" spans="1:18" x14ac:dyDescent="0.4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4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45917</v>
      </c>
      <c r="R2">
        <f ca="1">DATEDIF(D2,$P$2,"D")</f>
        <v>946</v>
      </c>
    </row>
    <row r="3" spans="1:18" x14ac:dyDescent="0.4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862</v>
      </c>
    </row>
    <row r="4" spans="1:18" x14ac:dyDescent="0.4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789</v>
      </c>
    </row>
    <row r="5" spans="1:18" x14ac:dyDescent="0.4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744</v>
      </c>
    </row>
    <row r="6" spans="1:18" x14ac:dyDescent="0.4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669</v>
      </c>
    </row>
    <row r="7" spans="1:18" x14ac:dyDescent="0.4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615</v>
      </c>
    </row>
    <row r="8" spans="1:18" x14ac:dyDescent="0.4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563</v>
      </c>
    </row>
    <row r="9" spans="1:18" x14ac:dyDescent="0.4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509</v>
      </c>
    </row>
    <row r="10" spans="1:18" x14ac:dyDescent="0.4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459</v>
      </c>
    </row>
    <row r="11" spans="1:18" x14ac:dyDescent="0.4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437</v>
      </c>
    </row>
    <row r="12" spans="1:18" x14ac:dyDescent="0.4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462</v>
      </c>
    </row>
    <row r="13" spans="1:18" x14ac:dyDescent="0.4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966</v>
      </c>
    </row>
    <row r="14" spans="1:18" x14ac:dyDescent="0.4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915</v>
      </c>
    </row>
    <row r="15" spans="1:18" x14ac:dyDescent="0.4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839</v>
      </c>
    </row>
    <row r="16" spans="1:18" x14ac:dyDescent="0.4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749</v>
      </c>
    </row>
    <row r="17" spans="1:18" x14ac:dyDescent="0.4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699</v>
      </c>
    </row>
    <row r="18" spans="1:18" x14ac:dyDescent="0.4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567</v>
      </c>
    </row>
    <row r="19" spans="1:18" x14ac:dyDescent="0.4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499</v>
      </c>
    </row>
    <row r="20" spans="1:18" x14ac:dyDescent="0.4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421</v>
      </c>
    </row>
    <row r="21" spans="1:18" ht="14.65" thickBot="1" x14ac:dyDescent="0.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opLeftCell="I1" workbookViewId="0">
      <selection activeCell="R4" sqref="R4"/>
    </sheetView>
  </sheetViews>
  <sheetFormatPr defaultRowHeight="14.25" x14ac:dyDescent="0.45"/>
  <cols>
    <col min="1" max="1" width="11.6640625" bestFit="1" customWidth="1"/>
    <col min="2" max="2" width="16.1328125" bestFit="1" customWidth="1"/>
    <col min="3" max="3" width="27.265625" bestFit="1" customWidth="1"/>
    <col min="4" max="4" width="23" customWidth="1"/>
    <col min="5" max="5" width="29.86328125" bestFit="1" customWidth="1"/>
    <col min="6" max="6" width="11" bestFit="1" customWidth="1"/>
    <col min="7" max="7" width="22" bestFit="1" customWidth="1"/>
    <col min="8" max="8" width="40" bestFit="1" customWidth="1"/>
    <col min="13" max="13" width="2.73046875" customWidth="1"/>
    <col min="14" max="14" width="15.86328125" bestFit="1" customWidth="1"/>
    <col min="15" max="15" width="14.3984375" bestFit="1" customWidth="1"/>
  </cols>
  <sheetData>
    <row r="1" spans="1:18" x14ac:dyDescent="0.4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4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4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4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4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4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4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4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4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4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4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4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4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4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4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4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4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4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4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4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4.65" thickBot="1" x14ac:dyDescent="0.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45">
      <c r="Q22" s="14">
        <v>20</v>
      </c>
      <c r="R22">
        <f t="shared" si="5"/>
        <v>0</v>
      </c>
    </row>
    <row r="23" spans="1:18" x14ac:dyDescent="0.45">
      <c r="Q23" s="14">
        <v>21</v>
      </c>
      <c r="R23">
        <f t="shared" si="5"/>
        <v>0</v>
      </c>
    </row>
    <row r="24" spans="1:18" x14ac:dyDescent="0.45">
      <c r="Q24" s="14">
        <v>22</v>
      </c>
      <c r="R24">
        <f t="shared" si="5"/>
        <v>0</v>
      </c>
    </row>
    <row r="25" spans="1:18" x14ac:dyDescent="0.45">
      <c r="Q25" s="14">
        <v>23</v>
      </c>
      <c r="R25">
        <f t="shared" si="5"/>
        <v>0</v>
      </c>
    </row>
    <row r="26" spans="1:18" x14ac:dyDescent="0.4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tarun panigrahi</cp:lastModifiedBy>
  <dcterms:created xsi:type="dcterms:W3CDTF">2015-06-05T18:17:20Z</dcterms:created>
  <dcterms:modified xsi:type="dcterms:W3CDTF">2025-09-17T14:14:29Z</dcterms:modified>
</cp:coreProperties>
</file>